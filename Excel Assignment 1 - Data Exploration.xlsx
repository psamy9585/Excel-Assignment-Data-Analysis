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TRII\ASSIGNMENTS\"/>
    </mc:Choice>
  </mc:AlternateContent>
  <bookViews>
    <workbookView xWindow="0" yWindow="0" windowWidth="20490" windowHeight="7755"/>
  </bookViews>
  <sheets>
    <sheet name="Dataset" sheetId="1" r:id="rId1"/>
  </sheets>
  <calcPr calcId="152511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L6" i="1" l="1"/>
  <c r="L8" i="1"/>
  <c r="L9" i="1"/>
  <c r="L11" i="1"/>
  <c r="L14" i="1"/>
  <c r="L16" i="1"/>
  <c r="L22" i="1"/>
  <c r="L25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sharedStrings.xml><?xml version="1.0" encoding="utf-8"?>
<sst xmlns="http://schemas.openxmlformats.org/spreadsheetml/2006/main" count="181" uniqueCount="132">
  <si>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</si>
  <si>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</si>
  <si>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</si>
  <si>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</si>
  <si>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</si>
  <si>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</si>
  <si>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</si>
  <si>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</si>
  <si>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</si>
  <si>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</si>
  <si>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</si>
  <si>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</si>
  <si>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</si>
  <si>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</si>
  <si>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</si>
  <si>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</si>
  <si>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</si>
  <si>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</si>
  <si>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</si>
  <si>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</si>
  <si>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</si>
  <si>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</si>
  <si>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</si>
  <si>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</si>
  <si>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</si>
  <si>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</si>
  <si>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</si>
  <si>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</si>
  <si>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</si>
  <si>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</si>
  <si>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</si>
  <si>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</si>
  <si>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</si>
  <si>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</si>
  <si>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</si>
  <si>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</si>
  <si>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</si>
  <si>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</si>
  <si>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</si>
  <si>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</si>
  <si>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</si>
  <si>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</si>
  <si>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</si>
  <si>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</si>
  <si>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</si>
  <si>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</si>
  <si>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</si>
  <si>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</si>
  <si>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</si>
  <si>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</si>
  <si>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</si>
  <si>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</si>
  <si>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</si>
  <si>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</si>
  <si>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</si>
  <si>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</si>
  <si>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</si>
  <si>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</si>
  <si>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</si>
  <si>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</si>
  <si>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</si>
  <si>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</si>
  <si>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</si>
  <si>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</si>
  <si>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</si>
  <si>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</si>
  <si>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</si>
  <si>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</si>
  <si>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</si>
  <si>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</si>
  <si>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</si>
  <si>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</si>
  <si>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</si>
  <si>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</si>
  <si>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</si>
  <si>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</si>
  <si>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</si>
  <si>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</si>
  <si>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</si>
  <si>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</si>
  <si>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</si>
  <si>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</si>
  <si>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</si>
  <si>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</si>
  <si>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</si>
  <si>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</si>
  <si>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</si>
  <si>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</si>
  <si>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</si>
  <si>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</si>
  <si>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</si>
  <si>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</si>
  <si>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</si>
  <si>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Sum, Count, and Average </t>
  </si>
  <si>
    <t xml:space="preserve">Calculate the total price of all products in the dataset. </t>
  </si>
  <si>
    <t>SUM(D2:D35)</t>
  </si>
  <si>
    <t xml:space="preserve">Determine how many products exist in the dataset. </t>
  </si>
  <si>
    <t>COUNT(A2:A35)</t>
  </si>
  <si>
    <t>COUNTA(A2:A35)</t>
  </si>
  <si>
    <t xml:space="preserve">Calculate the average price of the products. </t>
  </si>
  <si>
    <t>AVERAGE(D2:D35)</t>
  </si>
  <si>
    <t xml:space="preserve">Minimum and Maximum Values </t>
  </si>
  <si>
    <t xml:space="preserve">Identify the minimum price among all products. </t>
  </si>
  <si>
    <t xml:space="preserve">Identify the maximum price among all products. </t>
  </si>
  <si>
    <t>MIN(D2:D35)</t>
  </si>
  <si>
    <t>MAX(D2:D35)</t>
  </si>
  <si>
    <t xml:space="preserve">Logical Function – IF </t>
  </si>
  <si>
    <t>Price Range</t>
  </si>
  <si>
    <t xml:space="preserve">If Price ≥ $500 → classify as High Price </t>
  </si>
  <si>
    <t xml:space="preserve">If Price &lt; $500 → classify as Standard Price </t>
  </si>
  <si>
    <t>IF(D2&gt;=500,"High price")</t>
  </si>
  <si>
    <t>IF(D2&lt;500,"Standard price")</t>
  </si>
  <si>
    <t>Price Range2</t>
  </si>
  <si>
    <t xml:space="preserve">Conditional Functions – SUMIF and COUNTIF </t>
  </si>
  <si>
    <t xml:space="preserve">Use the SUMIF function to calculate the total price of products in the Electronics category. </t>
  </si>
  <si>
    <t>SUMIF(F2:F35,"Electronics",D2:D35)</t>
  </si>
  <si>
    <t xml:space="preserve">Use the COUNTIF function to determine the number of products with a price </t>
  </si>
  <si>
    <t xml:space="preserve">less than $100. </t>
  </si>
  <si>
    <t>COUNTIF(D2:D35,"&lt;100")</t>
  </si>
  <si>
    <t xml:space="preserve">Text Formatting – LEFT, RIGHT, MID </t>
  </si>
  <si>
    <t xml:space="preserve">Create a new column named Day with the first 2 characters of each </t>
  </si>
  <si>
    <t xml:space="preserve">'Product ID' using the LEFT function. </t>
  </si>
  <si>
    <t>Day</t>
  </si>
  <si>
    <t>Country Code</t>
  </si>
  <si>
    <t xml:space="preserve">Create a new column named Country Code by extracting the last 2 </t>
  </si>
  <si>
    <t xml:space="preserve">characters from the 'Product ID' column using the RIGHT function. </t>
  </si>
  <si>
    <t>Month</t>
  </si>
  <si>
    <t>LEFT(Product ID,2)</t>
  </si>
  <si>
    <t>RIGHT(Product ID,2)</t>
  </si>
  <si>
    <t xml:space="preserve">Create a new column named Month by extracting the 4th to 6th </t>
  </si>
  <si>
    <t xml:space="preserve">characters from the 'Product ID' column using the MID function. </t>
  </si>
  <si>
    <t>MID(Product ID,4,6)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</si>
</sst>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5" fillId="0" borderId="0" xfId="0" applyFont="1" applyAlignment="1"/>
    <xf numFmtId="164" fontId="0" fillId="0" borderId="0" xfId="0" applyNumberFormat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6" fillId="0" borderId="0" xfId="0" applyFont="1" applyAlignment="1"/>
    <xf numFmtId="0" fontId="6" fillId="4" borderId="0" xfId="0" applyFont="1" applyFill="1" applyAlignment="1"/>
    <xf numFmtId="0" fontId="2" fillId="0" borderId="1" xfId="0" applyFont="1" applyBorder="1"/>
    <xf numFmtId="0" fontId="2" fillId="3" borderId="1" xfId="0" applyFont="1" applyFill="1" applyBorder="1"/>
    <xf numFmtId="0" fontId="2" fillId="0" borderId="2" xfId="0" applyFont="1" applyBorder="1"/>
    <xf numFmtId="0" fontId="2" fillId="3" borderId="2" xfId="0" applyFont="1" applyFill="1" applyBorder="1"/>
    <xf numFmtId="0" fontId="0" fillId="0" borderId="3" xfId="0" applyFont="1" applyBorder="1" applyAlignme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7" xfId="0" applyFont="1" applyFill="1" applyBorder="1"/>
    <xf numFmtId="0" fontId="2" fillId="3" borderId="8" xfId="0" applyFont="1" applyFill="1" applyBorder="1"/>
    <xf numFmtId="0" fontId="2" fillId="0" borderId="8" xfId="0" applyFont="1" applyBorder="1"/>
    <xf numFmtId="0" fontId="0" fillId="0" borderId="9" xfId="0" applyFont="1" applyBorder="1" applyAlignment="1"/>
    <xf numFmtId="0" fontId="0" fillId="0" borderId="0" xfId="0" applyFont="1" applyAlignment="1">
      <alignment wrapText="1"/>
    </xf>
    <xf numFmtId="0" fontId="3" fillId="3" borderId="1" xfId="0" applyFont="1" applyFill="1" applyBorder="1" applyAlignment="1"/>
    <xf numFmtId="0" fontId="3" fillId="3" borderId="5" xfId="0" applyFont="1" applyFill="1" applyBorder="1" applyAlignment="1"/>
    <xf numFmtId="0" fontId="3" fillId="3" borderId="8" xfId="0" applyFont="1" applyFill="1" applyBorder="1" applyAlignment="1"/>
    <xf numFmtId="0" fontId="4" fillId="2" borderId="5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K35" totalsRowShown="0" headerRowDxfId="15" dataDxfId="13" headerRowBorderDxfId="14" tableBorderDxfId="12" totalsRowBorderDxfId="11">
  <autoFilter ref="A1:K35"/>
  <tableColumns count="11">
    <tableColumn id="1" name="Product ID" dataDxfId="10"/>
    <tableColumn id="2" name="Product Name" dataDxfId="9"/>
    <tableColumn id="3" name="Brand Name" dataDxfId="8"/>
    <tableColumn id="4" name="Price ($)" dataDxfId="7"/>
    <tableColumn id="5" name="Quantity" dataDxfId="6"/>
    <tableColumn id="6" name="Category" dataDxfId="5"/>
    <tableColumn id="7" name="Price Range" dataDxfId="4">
      <calculatedColumnFormula>IF(D2&gt;=500,"High price")</calculatedColumnFormula>
    </tableColumn>
    <tableColumn id="8" name="Price Range2" dataDxfId="3">
      <calculatedColumnFormula>IF(D2&lt;500,"Standard price")</calculatedColumnFormula>
    </tableColumn>
    <tableColumn id="10" name="Day" dataDxfId="2">
      <calculatedColumnFormula>LEFT(Table2[[#This Row],[Product ID]],2)</calculatedColumnFormula>
    </tableColumn>
    <tableColumn id="11" name="Country Code" dataDxfId="1">
      <calculatedColumnFormula>RIGHT(Table2[[#This Row],[Product ID]],2)</calculatedColumnFormula>
    </tableColumn>
    <tableColumn id="12" name="Month" dataDxfId="0">
      <calculatedColumnFormula>MID(Table2[[#This Row],[Product ID]],4,6)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topLeftCell="F12" workbookViewId="0">
      <selection activeCell="I23" sqref="I23"/>
    </sheetView>
  </sheetViews>
  <sheetFormatPr defaultColWidth="12.5703125" defaultRowHeight="15" customHeight="1" x14ac:dyDescent="0.2"/>
  <cols>
    <col min="2" max="2" width="16" customWidth="1"/>
    <col min="3" max="3" width="14.42578125" customWidth="1"/>
    <col min="7" max="7" width="14.28515625" customWidth="1"/>
    <col min="8" max="11" width="15.28515625" customWidth="1"/>
    <col min="12" max="12" width="63.28515625" customWidth="1"/>
    <col min="13" max="13" width="32.42578125" bestFit="1" customWidth="1"/>
  </cols>
  <sheetData>
    <row r="1" spans="1:13" ht="15.75" customHeight="1" x14ac:dyDescent="0.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107</v>
      </c>
      <c r="H1" s="15" t="s">
        <v>112</v>
      </c>
      <c r="I1" s="24" t="s">
        <v>122</v>
      </c>
      <c r="J1" s="24" t="s">
        <v>123</v>
      </c>
      <c r="K1" s="24" t="s">
        <v>126</v>
      </c>
    </row>
    <row r="2" spans="1:13" ht="15.75" customHeight="1" x14ac:dyDescent="0.2">
      <c r="A2" s="9" t="s">
        <v>6</v>
      </c>
      <c r="B2" s="7" t="s">
        <v>7</v>
      </c>
      <c r="C2" s="7" t="s">
        <v>8</v>
      </c>
      <c r="D2" s="7">
        <v>1000</v>
      </c>
      <c r="E2" s="7">
        <v>30</v>
      </c>
      <c r="F2" s="7" t="s">
        <v>9</v>
      </c>
      <c r="G2" s="7" t="str">
        <f>IF(D2&gt;=500,"High price")</f>
        <v>High price</v>
      </c>
      <c r="H2" s="11" t="b">
        <f>IF(D2&lt;500,"Standard price")</f>
        <v>0</v>
      </c>
      <c r="I2" s="22" t="str">
        <f>LEFT(Table2[[#This Row],[Product ID]],2)</f>
        <v>28</v>
      </c>
      <c r="J2" s="21" t="str">
        <f>RIGHT(Table2[[#This Row],[Product ID]],2)</f>
        <v>US</v>
      </c>
      <c r="K2" s="21" t="str">
        <f>MID(Table2[[#This Row],[Product ID]],4,6)</f>
        <v>JAN-US</v>
      </c>
    </row>
    <row r="3" spans="1:13" ht="15.75" customHeight="1" x14ac:dyDescent="0.2">
      <c r="A3" s="10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G3" s="7" t="b">
        <f t="shared" ref="G3:G35" si="0">IF(D3&gt;=500,"High price")</f>
        <v>0</v>
      </c>
      <c r="H3" s="11" t="str">
        <f t="shared" ref="H3:H35" si="1">IF(D3&lt;500,"Standard price")</f>
        <v>Standard price</v>
      </c>
      <c r="I3" s="21" t="str">
        <f>LEFT(Table2[[#This Row],[Product ID]],2)</f>
        <v>15</v>
      </c>
      <c r="J3" s="21" t="str">
        <f>RIGHT(Table2[[#This Row],[Product ID]],2)</f>
        <v>US</v>
      </c>
      <c r="K3" s="21" t="str">
        <f>MID(Table2[[#This Row],[Product ID]],4,6)</f>
        <v>FEB-US</v>
      </c>
    </row>
    <row r="4" spans="1:13" ht="15.75" customHeight="1" x14ac:dyDescent="0.2">
      <c r="A4" s="9" t="s">
        <v>14</v>
      </c>
      <c r="B4" s="7" t="s">
        <v>15</v>
      </c>
      <c r="C4" s="7" t="s">
        <v>16</v>
      </c>
      <c r="D4" s="7">
        <v>130</v>
      </c>
      <c r="E4" s="7">
        <v>40</v>
      </c>
      <c r="F4" s="7" t="s">
        <v>17</v>
      </c>
      <c r="G4" s="7" t="b">
        <f t="shared" si="0"/>
        <v>0</v>
      </c>
      <c r="H4" s="11" t="str">
        <f t="shared" si="1"/>
        <v>Standard price</v>
      </c>
      <c r="I4" s="21" t="str">
        <f>LEFT(Table2[[#This Row],[Product ID]],2)</f>
        <v>03</v>
      </c>
      <c r="J4" s="21" t="str">
        <f>RIGHT(Table2[[#This Row],[Product ID]],2)</f>
        <v>US</v>
      </c>
      <c r="K4" s="21" t="str">
        <f>MID(Table2[[#This Row],[Product ID]],4,6)</f>
        <v>MAR-US</v>
      </c>
      <c r="L4" s="1" t="s">
        <v>93</v>
      </c>
    </row>
    <row r="5" spans="1:13" ht="15.75" customHeight="1" x14ac:dyDescent="0.2">
      <c r="A5" s="10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G5" s="7" t="str">
        <f t="shared" si="0"/>
        <v>High price</v>
      </c>
      <c r="H5" s="11" t="b">
        <f t="shared" si="1"/>
        <v>0</v>
      </c>
      <c r="I5" s="21" t="str">
        <f>LEFT(Table2[[#This Row],[Product ID]],2)</f>
        <v>11</v>
      </c>
      <c r="J5" s="21" t="str">
        <f>RIGHT(Table2[[#This Row],[Product ID]],2)</f>
        <v>US</v>
      </c>
      <c r="K5" s="21" t="str">
        <f>MID(Table2[[#This Row],[Product ID]],4,6)</f>
        <v>APR-US</v>
      </c>
      <c r="L5" t="s">
        <v>94</v>
      </c>
    </row>
    <row r="6" spans="1:13" ht="15.75" customHeight="1" x14ac:dyDescent="0.2">
      <c r="A6" s="9" t="s">
        <v>21</v>
      </c>
      <c r="B6" s="7" t="s">
        <v>22</v>
      </c>
      <c r="C6" s="7" t="s">
        <v>23</v>
      </c>
      <c r="D6" s="7">
        <v>70</v>
      </c>
      <c r="E6" s="7">
        <v>20</v>
      </c>
      <c r="F6" s="7" t="s">
        <v>24</v>
      </c>
      <c r="G6" s="7" t="b">
        <f t="shared" si="0"/>
        <v>0</v>
      </c>
      <c r="H6" s="11" t="str">
        <f t="shared" si="1"/>
        <v>Standard price</v>
      </c>
      <c r="I6" s="21" t="str">
        <f>LEFT(Table2[[#This Row],[Product ID]],2)</f>
        <v>22</v>
      </c>
      <c r="J6" s="21" t="str">
        <f>RIGHT(Table2[[#This Row],[Product ID]],2)</f>
        <v>US</v>
      </c>
      <c r="K6" s="21" t="str">
        <f>MID(Table2[[#This Row],[Product ID]],4,6)</f>
        <v>MAY-US</v>
      </c>
      <c r="L6" s="4">
        <f>SUM(D2:D35)</f>
        <v>10100</v>
      </c>
      <c r="M6" s="6" t="s">
        <v>95</v>
      </c>
    </row>
    <row r="7" spans="1:13" ht="15.75" customHeight="1" x14ac:dyDescent="0.2">
      <c r="A7" s="10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G7" s="7" t="b">
        <f t="shared" si="0"/>
        <v>0</v>
      </c>
      <c r="H7" s="11" t="str">
        <f t="shared" si="1"/>
        <v>Standard price</v>
      </c>
      <c r="I7" s="21" t="str">
        <f>LEFT(Table2[[#This Row],[Product ID]],2)</f>
        <v>07</v>
      </c>
      <c r="J7" s="21" t="str">
        <f>RIGHT(Table2[[#This Row],[Product ID]],2)</f>
        <v>UK</v>
      </c>
      <c r="K7" s="21" t="str">
        <f>MID(Table2[[#This Row],[Product ID]],4,6)</f>
        <v>JUN-UK</v>
      </c>
      <c r="L7" s="2" t="s">
        <v>96</v>
      </c>
    </row>
    <row r="8" spans="1:13" ht="15.75" customHeight="1" x14ac:dyDescent="0.2">
      <c r="A8" s="9" t="s">
        <v>28</v>
      </c>
      <c r="B8" s="7" t="s">
        <v>29</v>
      </c>
      <c r="C8" s="7" t="s">
        <v>30</v>
      </c>
      <c r="D8" s="7">
        <v>30</v>
      </c>
      <c r="E8" s="7">
        <v>5</v>
      </c>
      <c r="F8" s="7" t="s">
        <v>13</v>
      </c>
      <c r="G8" s="7" t="b">
        <f t="shared" si="0"/>
        <v>0</v>
      </c>
      <c r="H8" s="11" t="str">
        <f t="shared" si="1"/>
        <v>Standard price</v>
      </c>
      <c r="I8" s="21" t="str">
        <f>LEFT(Table2[[#This Row],[Product ID]],2)</f>
        <v>19</v>
      </c>
      <c r="J8" s="21" t="str">
        <f>RIGHT(Table2[[#This Row],[Product ID]],2)</f>
        <v>UK</v>
      </c>
      <c r="K8" s="21" t="str">
        <f>MID(Table2[[#This Row],[Product ID]],4,6)</f>
        <v>JUL-UK</v>
      </c>
      <c r="L8" s="3">
        <f>COUNT(E2:E35)</f>
        <v>34</v>
      </c>
      <c r="M8" s="6" t="s">
        <v>97</v>
      </c>
    </row>
    <row r="9" spans="1:13" ht="15.75" customHeight="1" x14ac:dyDescent="0.2">
      <c r="A9" s="10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G9" s="7" t="b">
        <f t="shared" si="0"/>
        <v>0</v>
      </c>
      <c r="H9" s="11" t="str">
        <f t="shared" si="1"/>
        <v>Standard price</v>
      </c>
      <c r="I9" s="21" t="str">
        <f>LEFT(Table2[[#This Row],[Product ID]],2)</f>
        <v>23</v>
      </c>
      <c r="J9" s="21" t="str">
        <f>RIGHT(Table2[[#This Row],[Product ID]],2)</f>
        <v>UK</v>
      </c>
      <c r="K9" s="21" t="str">
        <f>MID(Table2[[#This Row],[Product ID]],4,6)</f>
        <v>AUG-UK</v>
      </c>
      <c r="L9" s="3">
        <f>COUNTA(A2:A35)</f>
        <v>34</v>
      </c>
      <c r="M9" s="6" t="s">
        <v>98</v>
      </c>
    </row>
    <row r="10" spans="1:13" ht="15.75" customHeight="1" x14ac:dyDescent="0.2">
      <c r="A10" s="9" t="s">
        <v>34</v>
      </c>
      <c r="B10" s="7" t="s">
        <v>35</v>
      </c>
      <c r="C10" s="7" t="s">
        <v>36</v>
      </c>
      <c r="D10" s="7">
        <v>500</v>
      </c>
      <c r="E10" s="7">
        <v>50</v>
      </c>
      <c r="F10" s="7" t="s">
        <v>9</v>
      </c>
      <c r="G10" s="7" t="str">
        <f t="shared" si="0"/>
        <v>High price</v>
      </c>
      <c r="H10" s="11" t="b">
        <f t="shared" si="1"/>
        <v>0</v>
      </c>
      <c r="I10" s="21" t="str">
        <f>LEFT(Table2[[#This Row],[Product ID]],2)</f>
        <v>05</v>
      </c>
      <c r="J10" s="21" t="str">
        <f>RIGHT(Table2[[#This Row],[Product ID]],2)</f>
        <v>UK</v>
      </c>
      <c r="K10" s="21" t="str">
        <f>MID(Table2[[#This Row],[Product ID]],4,6)</f>
        <v>SEP-UK</v>
      </c>
      <c r="L10" t="s">
        <v>99</v>
      </c>
    </row>
    <row r="11" spans="1:13" ht="15.75" customHeight="1" x14ac:dyDescent="0.2">
      <c r="A11" s="10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G11" s="7" t="b">
        <f t="shared" si="0"/>
        <v>0</v>
      </c>
      <c r="H11" s="11" t="str">
        <f t="shared" si="1"/>
        <v>Standard price</v>
      </c>
      <c r="I11" s="21" t="str">
        <f>LEFT(Table2[[#This Row],[Product ID]],2)</f>
        <v>14</v>
      </c>
      <c r="J11" s="21" t="str">
        <f>RIGHT(Table2[[#This Row],[Product ID]],2)</f>
        <v>UK</v>
      </c>
      <c r="K11" s="21" t="str">
        <f>MID(Table2[[#This Row],[Product ID]],4,6)</f>
        <v>OCT-UK</v>
      </c>
      <c r="L11" s="4">
        <f>AVERAGE(D2:D35)</f>
        <v>297.05882352941177</v>
      </c>
      <c r="M11" s="6" t="s">
        <v>100</v>
      </c>
    </row>
    <row r="12" spans="1:13" ht="15.75" customHeight="1" x14ac:dyDescent="0.2">
      <c r="A12" s="9" t="s">
        <v>40</v>
      </c>
      <c r="B12" s="7" t="s">
        <v>7</v>
      </c>
      <c r="C12" s="7" t="s">
        <v>41</v>
      </c>
      <c r="D12" s="7">
        <v>950</v>
      </c>
      <c r="E12" s="7">
        <v>25</v>
      </c>
      <c r="F12" s="7" t="s">
        <v>9</v>
      </c>
      <c r="G12" s="7" t="str">
        <f t="shared" si="0"/>
        <v>High price</v>
      </c>
      <c r="H12" s="11" t="b">
        <f t="shared" si="1"/>
        <v>0</v>
      </c>
      <c r="I12" s="21" t="str">
        <f>LEFT(Table2[[#This Row],[Product ID]],2)</f>
        <v>17</v>
      </c>
      <c r="J12" s="21" t="str">
        <f>RIGHT(Table2[[#This Row],[Product ID]],2)</f>
        <v>IN</v>
      </c>
      <c r="K12" s="21" t="str">
        <f>MID(Table2[[#This Row],[Product ID]],4,6)</f>
        <v>JUN-IN</v>
      </c>
      <c r="L12" s="1" t="s">
        <v>101</v>
      </c>
    </row>
    <row r="13" spans="1:13" ht="15.75" customHeight="1" x14ac:dyDescent="0.2">
      <c r="A13" s="10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G13" s="7" t="b">
        <f t="shared" si="0"/>
        <v>0</v>
      </c>
      <c r="H13" s="11" t="str">
        <f t="shared" si="1"/>
        <v>Standard price</v>
      </c>
      <c r="I13" s="21" t="str">
        <f>LEFT(Table2[[#This Row],[Product ID]],2)</f>
        <v>25</v>
      </c>
      <c r="J13" s="21" t="str">
        <f>RIGHT(Table2[[#This Row],[Product ID]],2)</f>
        <v>AU</v>
      </c>
      <c r="K13" s="21" t="str">
        <f>MID(Table2[[#This Row],[Product ID]],4,6)</f>
        <v>NOV-AU</v>
      </c>
      <c r="L13" t="s">
        <v>102</v>
      </c>
    </row>
    <row r="14" spans="1:13" ht="15.75" customHeight="1" x14ac:dyDescent="0.2">
      <c r="A14" s="9" t="s">
        <v>43</v>
      </c>
      <c r="B14" s="7" t="s">
        <v>15</v>
      </c>
      <c r="C14" s="7" t="s">
        <v>44</v>
      </c>
      <c r="D14" s="7">
        <v>120</v>
      </c>
      <c r="E14" s="7">
        <v>35</v>
      </c>
      <c r="F14" s="7" t="s">
        <v>17</v>
      </c>
      <c r="G14" s="7" t="b">
        <f t="shared" si="0"/>
        <v>0</v>
      </c>
      <c r="H14" s="11" t="str">
        <f t="shared" si="1"/>
        <v>Standard price</v>
      </c>
      <c r="I14" s="21" t="str">
        <f>LEFT(Table2[[#This Row],[Product ID]],2)</f>
        <v>08</v>
      </c>
      <c r="J14" s="21" t="str">
        <f>RIGHT(Table2[[#This Row],[Product ID]],2)</f>
        <v>DE</v>
      </c>
      <c r="K14" s="21" t="str">
        <f>MID(Table2[[#This Row],[Product ID]],4,6)</f>
        <v>DEC-DE</v>
      </c>
      <c r="L14" s="4">
        <f>MIN(D2:D35)</f>
        <v>30</v>
      </c>
      <c r="M14" s="6" t="s">
        <v>104</v>
      </c>
    </row>
    <row r="15" spans="1:13" ht="15.75" customHeight="1" x14ac:dyDescent="0.2">
      <c r="A15" s="10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G15" s="7" t="b">
        <f t="shared" si="0"/>
        <v>0</v>
      </c>
      <c r="H15" s="11" t="str">
        <f t="shared" si="1"/>
        <v>Standard price</v>
      </c>
      <c r="I15" s="21" t="str">
        <f>LEFT(Table2[[#This Row],[Product ID]],2)</f>
        <v>18</v>
      </c>
      <c r="J15" s="21" t="str">
        <f>RIGHT(Table2[[#This Row],[Product ID]],2)</f>
        <v>CA</v>
      </c>
      <c r="K15" s="21" t="str">
        <f>MID(Table2[[#This Row],[Product ID]],4,6)</f>
        <v>FEB-CA</v>
      </c>
      <c r="L15" t="s">
        <v>103</v>
      </c>
    </row>
    <row r="16" spans="1:13" ht="15.75" customHeight="1" x14ac:dyDescent="0.2">
      <c r="A16" s="9" t="s">
        <v>48</v>
      </c>
      <c r="B16" s="7" t="s">
        <v>26</v>
      </c>
      <c r="C16" s="7" t="s">
        <v>49</v>
      </c>
      <c r="D16" s="7">
        <v>250</v>
      </c>
      <c r="E16" s="7">
        <v>20</v>
      </c>
      <c r="F16" s="7" t="s">
        <v>9</v>
      </c>
      <c r="G16" s="7" t="b">
        <f t="shared" si="0"/>
        <v>0</v>
      </c>
      <c r="H16" s="11" t="str">
        <f t="shared" si="1"/>
        <v>Standard price</v>
      </c>
      <c r="I16" s="21" t="str">
        <f>LEFT(Table2[[#This Row],[Product ID]],2)</f>
        <v>16</v>
      </c>
      <c r="J16" s="21" t="str">
        <f>RIGHT(Table2[[#This Row],[Product ID]],2)</f>
        <v>ES</v>
      </c>
      <c r="K16" s="21" t="str">
        <f>MID(Table2[[#This Row],[Product ID]],4,6)</f>
        <v>APR-ES</v>
      </c>
      <c r="L16" s="4">
        <f>MAX(D2:D35)</f>
        <v>1000</v>
      </c>
      <c r="M16" s="6" t="s">
        <v>105</v>
      </c>
    </row>
    <row r="17" spans="1:13" ht="15.75" customHeight="1" x14ac:dyDescent="0.2">
      <c r="A17" s="10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G17" s="7" t="b">
        <f t="shared" si="0"/>
        <v>0</v>
      </c>
      <c r="H17" s="11" t="str">
        <f t="shared" si="1"/>
        <v>Standard price</v>
      </c>
      <c r="I17" s="21" t="str">
        <f>LEFT(Table2[[#This Row],[Product ID]],2)</f>
        <v>21</v>
      </c>
      <c r="J17" s="21" t="str">
        <f>RIGHT(Table2[[#This Row],[Product ID]],2)</f>
        <v>CA</v>
      </c>
      <c r="K17" s="21" t="str">
        <f>MID(Table2[[#This Row],[Product ID]],4,6)</f>
        <v>AUG-CA</v>
      </c>
      <c r="L17" s="1" t="s">
        <v>106</v>
      </c>
    </row>
    <row r="18" spans="1:13" ht="15.75" customHeight="1" x14ac:dyDescent="0.2">
      <c r="A18" s="9" t="s">
        <v>54</v>
      </c>
      <c r="B18" s="7" t="s">
        <v>46</v>
      </c>
      <c r="C18" s="7" t="s">
        <v>55</v>
      </c>
      <c r="D18" s="7">
        <v>160</v>
      </c>
      <c r="E18" s="7">
        <v>15</v>
      </c>
      <c r="F18" s="7" t="s">
        <v>9</v>
      </c>
      <c r="G18" s="7" t="b">
        <f t="shared" si="0"/>
        <v>0</v>
      </c>
      <c r="H18" s="11" t="str">
        <f t="shared" si="1"/>
        <v>Standard price</v>
      </c>
      <c r="I18" s="21" t="str">
        <f>LEFT(Table2[[#This Row],[Product ID]],2)</f>
        <v>20</v>
      </c>
      <c r="J18" s="21" t="str">
        <f>RIGHT(Table2[[#This Row],[Product ID]],2)</f>
        <v>CN</v>
      </c>
      <c r="K18" s="21" t="str">
        <f>MID(Table2[[#This Row],[Product ID]],4,6)</f>
        <v>AUG-CN</v>
      </c>
      <c r="L18" t="s">
        <v>108</v>
      </c>
      <c r="M18" s="6" t="s">
        <v>110</v>
      </c>
    </row>
    <row r="19" spans="1:13" ht="15.75" customHeight="1" x14ac:dyDescent="0.2">
      <c r="A19" s="10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G19" s="7" t="str">
        <f t="shared" si="0"/>
        <v>High price</v>
      </c>
      <c r="H19" s="11" t="b">
        <f t="shared" si="1"/>
        <v>0</v>
      </c>
      <c r="I19" s="21" t="str">
        <f>LEFT(Table2[[#This Row],[Product ID]],2)</f>
        <v>27</v>
      </c>
      <c r="J19" s="21" t="str">
        <f>RIGHT(Table2[[#This Row],[Product ID]],2)</f>
        <v>IT</v>
      </c>
      <c r="K19" s="21" t="str">
        <f>MID(Table2[[#This Row],[Product ID]],4,6)</f>
        <v>JAN-IT</v>
      </c>
      <c r="L19" t="s">
        <v>109</v>
      </c>
      <c r="M19" s="6" t="s">
        <v>111</v>
      </c>
    </row>
    <row r="20" spans="1:13" ht="15.75" customHeight="1" x14ac:dyDescent="0.2">
      <c r="A20" s="9" t="s">
        <v>58</v>
      </c>
      <c r="B20" s="7" t="s">
        <v>59</v>
      </c>
      <c r="C20" s="7" t="s">
        <v>60</v>
      </c>
      <c r="D20" s="7">
        <v>150</v>
      </c>
      <c r="E20" s="7">
        <v>15</v>
      </c>
      <c r="F20" s="7" t="s">
        <v>13</v>
      </c>
      <c r="G20" s="7" t="b">
        <f t="shared" si="0"/>
        <v>0</v>
      </c>
      <c r="H20" s="11" t="str">
        <f t="shared" si="1"/>
        <v>Standard price</v>
      </c>
      <c r="I20" s="21" t="str">
        <f>LEFT(Table2[[#This Row],[Product ID]],2)</f>
        <v>01</v>
      </c>
      <c r="J20" s="21" t="str">
        <f>RIGHT(Table2[[#This Row],[Product ID]],2)</f>
        <v>UK</v>
      </c>
      <c r="K20" s="21" t="str">
        <f>MID(Table2[[#This Row],[Product ID]],4,6)</f>
        <v>MAR-UK</v>
      </c>
      <c r="L20" s="1" t="s">
        <v>113</v>
      </c>
    </row>
    <row r="21" spans="1:13" ht="28.5" customHeight="1" x14ac:dyDescent="0.2">
      <c r="A21" s="10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G21" s="7" t="b">
        <f t="shared" si="0"/>
        <v>0</v>
      </c>
      <c r="H21" s="11" t="str">
        <f t="shared" si="1"/>
        <v>Standard price</v>
      </c>
      <c r="I21" s="21" t="str">
        <f>LEFT(Table2[[#This Row],[Product ID]],2)</f>
        <v>14</v>
      </c>
      <c r="J21" s="21" t="str">
        <f>RIGHT(Table2[[#This Row],[Product ID]],2)</f>
        <v>US</v>
      </c>
      <c r="K21" s="21" t="str">
        <f>MID(Table2[[#This Row],[Product ID]],4,6)</f>
        <v>AUG-US</v>
      </c>
      <c r="L21" s="20" t="s">
        <v>114</v>
      </c>
    </row>
    <row r="22" spans="1:13" ht="15.75" customHeight="1" x14ac:dyDescent="0.2">
      <c r="A22" s="9" t="s">
        <v>64</v>
      </c>
      <c r="B22" s="7" t="s">
        <v>65</v>
      </c>
      <c r="C22" s="7" t="s">
        <v>66</v>
      </c>
      <c r="D22" s="7">
        <v>700</v>
      </c>
      <c r="E22" s="7">
        <v>50</v>
      </c>
      <c r="F22" s="7" t="s">
        <v>9</v>
      </c>
      <c r="G22" s="7" t="str">
        <f t="shared" si="0"/>
        <v>High price</v>
      </c>
      <c r="H22" s="11" t="b">
        <f t="shared" si="1"/>
        <v>0</v>
      </c>
      <c r="I22" s="21" t="str">
        <f>LEFT(Table2[[#This Row],[Product ID]],2)</f>
        <v>14</v>
      </c>
      <c r="J22" s="21" t="str">
        <f>RIGHT(Table2[[#This Row],[Product ID]],2)</f>
        <v>RU</v>
      </c>
      <c r="K22" s="21" t="str">
        <f>MID(Table2[[#This Row],[Product ID]],4,6)</f>
        <v>MAY-RU</v>
      </c>
      <c r="L22" s="4">
        <f>SUMIF(F2:F35,"Electronics",D2:D35)</f>
        <v>8050</v>
      </c>
      <c r="M22" s="6" t="s">
        <v>115</v>
      </c>
    </row>
    <row r="23" spans="1:13" ht="12.75" x14ac:dyDescent="0.2">
      <c r="A23" s="10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G23" s="7" t="b">
        <f t="shared" si="0"/>
        <v>0</v>
      </c>
      <c r="H23" s="11" t="str">
        <f t="shared" si="1"/>
        <v>Standard price</v>
      </c>
      <c r="I23" s="21" t="str">
        <f>LEFT(Table2[[#This Row],[Product ID]],2)</f>
        <v>09</v>
      </c>
      <c r="J23" s="21" t="str">
        <f>RIGHT(Table2[[#This Row],[Product ID]],2)</f>
        <v>CA</v>
      </c>
      <c r="K23" s="21" t="str">
        <f>MID(Table2[[#This Row],[Product ID]],4,6)</f>
        <v>JAN-CA</v>
      </c>
      <c r="L23" s="5" t="s">
        <v>116</v>
      </c>
    </row>
    <row r="24" spans="1:13" ht="15.75" customHeight="1" x14ac:dyDescent="0.2">
      <c r="A24" s="9" t="s">
        <v>70</v>
      </c>
      <c r="B24" s="7" t="s">
        <v>71</v>
      </c>
      <c r="C24" s="7" t="s">
        <v>72</v>
      </c>
      <c r="D24" s="7">
        <v>150</v>
      </c>
      <c r="E24" s="7">
        <v>30</v>
      </c>
      <c r="F24" s="7" t="s">
        <v>9</v>
      </c>
      <c r="G24" s="7" t="b">
        <f t="shared" si="0"/>
        <v>0</v>
      </c>
      <c r="H24" s="11" t="str">
        <f t="shared" si="1"/>
        <v>Standard price</v>
      </c>
      <c r="I24" s="21" t="str">
        <f>LEFT(Table2[[#This Row],[Product ID]],2)</f>
        <v>19</v>
      </c>
      <c r="J24" s="21" t="str">
        <f>RIGHT(Table2[[#This Row],[Product ID]],2)</f>
        <v>BR</v>
      </c>
      <c r="K24" s="21" t="str">
        <f>MID(Table2[[#This Row],[Product ID]],4,6)</f>
        <v>JUL-BR</v>
      </c>
      <c r="L24" t="s">
        <v>117</v>
      </c>
    </row>
    <row r="25" spans="1:13" ht="15.75" customHeight="1" x14ac:dyDescent="0.2">
      <c r="A25" s="10" t="s">
        <v>50</v>
      </c>
      <c r="B25" s="8" t="s">
        <v>51</v>
      </c>
      <c r="C25" s="8" t="s">
        <v>52</v>
      </c>
      <c r="D25" s="8">
        <v>50</v>
      </c>
      <c r="E25" s="8">
        <v>35</v>
      </c>
      <c r="F25" s="8" t="s">
        <v>53</v>
      </c>
      <c r="G25" s="7" t="b">
        <f t="shared" si="0"/>
        <v>0</v>
      </c>
      <c r="H25" s="11" t="str">
        <f t="shared" si="1"/>
        <v>Standard price</v>
      </c>
      <c r="I25" s="21" t="str">
        <f>LEFT(Table2[[#This Row],[Product ID]],2)</f>
        <v>21</v>
      </c>
      <c r="J25" s="21" t="str">
        <f>RIGHT(Table2[[#This Row],[Product ID]],2)</f>
        <v>CA</v>
      </c>
      <c r="K25" s="21" t="str">
        <f>MID(Table2[[#This Row],[Product ID]],4,6)</f>
        <v>AUG-CA</v>
      </c>
      <c r="L25" s="3">
        <f>COUNTIF(D2:D35,"&lt;100")</f>
        <v>11</v>
      </c>
      <c r="M25" s="6" t="s">
        <v>118</v>
      </c>
    </row>
    <row r="26" spans="1:13" ht="15.75" customHeight="1" x14ac:dyDescent="0.2">
      <c r="A26" s="9" t="s">
        <v>73</v>
      </c>
      <c r="B26" s="7" t="s">
        <v>19</v>
      </c>
      <c r="C26" s="7" t="s">
        <v>74</v>
      </c>
      <c r="D26" s="7">
        <v>800</v>
      </c>
      <c r="E26" s="7">
        <v>45</v>
      </c>
      <c r="F26" s="7" t="s">
        <v>9</v>
      </c>
      <c r="G26" s="7" t="str">
        <f t="shared" si="0"/>
        <v>High price</v>
      </c>
      <c r="H26" s="11" t="b">
        <f t="shared" si="1"/>
        <v>0</v>
      </c>
      <c r="I26" s="21" t="str">
        <f>LEFT(Table2[[#This Row],[Product ID]],2)</f>
        <v>29</v>
      </c>
      <c r="J26" s="21" t="str">
        <f>RIGHT(Table2[[#This Row],[Product ID]],2)</f>
        <v>CA</v>
      </c>
      <c r="K26" s="21" t="str">
        <f>MID(Table2[[#This Row],[Product ID]],4,6)</f>
        <v>SEP-CA</v>
      </c>
      <c r="L26" s="1" t="s">
        <v>119</v>
      </c>
    </row>
    <row r="27" spans="1:13" ht="15.75" customHeight="1" x14ac:dyDescent="0.2">
      <c r="A27" s="10" t="s">
        <v>75</v>
      </c>
      <c r="B27" s="8" t="s">
        <v>59</v>
      </c>
      <c r="C27" s="8" t="s">
        <v>76</v>
      </c>
      <c r="D27" s="8">
        <v>130</v>
      </c>
      <c r="E27" s="8">
        <v>25</v>
      </c>
      <c r="F27" s="8" t="s">
        <v>13</v>
      </c>
      <c r="G27" s="7" t="b">
        <f t="shared" si="0"/>
        <v>0</v>
      </c>
      <c r="H27" s="11" t="str">
        <f t="shared" si="1"/>
        <v>Standard price</v>
      </c>
      <c r="I27" s="21" t="str">
        <f>LEFT(Table2[[#This Row],[Product ID]],2)</f>
        <v>03</v>
      </c>
      <c r="J27" s="21" t="str">
        <f>RIGHT(Table2[[#This Row],[Product ID]],2)</f>
        <v>CA</v>
      </c>
      <c r="K27" s="21" t="str">
        <f>MID(Table2[[#This Row],[Product ID]],4,6)</f>
        <v>JUN-CA</v>
      </c>
      <c r="L27" t="s">
        <v>120</v>
      </c>
      <c r="M27" s="6" t="s">
        <v>127</v>
      </c>
    </row>
    <row r="28" spans="1:13" ht="15.75" customHeight="1" x14ac:dyDescent="0.2">
      <c r="A28" s="9" t="s">
        <v>77</v>
      </c>
      <c r="B28" s="7" t="s">
        <v>32</v>
      </c>
      <c r="C28" s="7" t="s">
        <v>78</v>
      </c>
      <c r="D28" s="7">
        <v>400</v>
      </c>
      <c r="E28" s="7">
        <v>40</v>
      </c>
      <c r="F28" s="7" t="s">
        <v>17</v>
      </c>
      <c r="G28" s="7" t="b">
        <f t="shared" si="0"/>
        <v>0</v>
      </c>
      <c r="H28" s="11" t="str">
        <f t="shared" si="1"/>
        <v>Standard price</v>
      </c>
      <c r="I28" s="21" t="str">
        <f>LEFT(Table2[[#This Row],[Product ID]],2)</f>
        <v>11</v>
      </c>
      <c r="J28" s="21" t="str">
        <f>RIGHT(Table2[[#This Row],[Product ID]],2)</f>
        <v>CA</v>
      </c>
      <c r="K28" s="21" t="str">
        <f>MID(Table2[[#This Row],[Product ID]],4,6)</f>
        <v>JUL-CA</v>
      </c>
      <c r="L28" t="s">
        <v>121</v>
      </c>
    </row>
    <row r="29" spans="1:13" ht="15.75" customHeight="1" x14ac:dyDescent="0.2">
      <c r="A29" s="10" t="s">
        <v>48</v>
      </c>
      <c r="B29" s="8" t="s">
        <v>26</v>
      </c>
      <c r="C29" s="8" t="s">
        <v>49</v>
      </c>
      <c r="D29" s="8">
        <v>230</v>
      </c>
      <c r="E29" s="8">
        <v>20</v>
      </c>
      <c r="F29" s="8" t="s">
        <v>9</v>
      </c>
      <c r="G29" s="7" t="b">
        <f t="shared" si="0"/>
        <v>0</v>
      </c>
      <c r="H29" s="11" t="str">
        <f t="shared" si="1"/>
        <v>Standard price</v>
      </c>
      <c r="I29" s="21" t="str">
        <f>LEFT(Table2[[#This Row],[Product ID]],2)</f>
        <v>16</v>
      </c>
      <c r="J29" s="21" t="str">
        <f>RIGHT(Table2[[#This Row],[Product ID]],2)</f>
        <v>ES</v>
      </c>
      <c r="K29" s="21" t="str">
        <f>MID(Table2[[#This Row],[Product ID]],4,6)</f>
        <v>APR-ES</v>
      </c>
      <c r="L29" t="s">
        <v>124</v>
      </c>
      <c r="M29" s="6" t="s">
        <v>128</v>
      </c>
    </row>
    <row r="30" spans="1:13" ht="15.75" customHeight="1" x14ac:dyDescent="0.2">
      <c r="A30" s="9" t="s">
        <v>79</v>
      </c>
      <c r="B30" s="7" t="s">
        <v>80</v>
      </c>
      <c r="C30" s="7" t="s">
        <v>81</v>
      </c>
      <c r="D30" s="7">
        <v>60</v>
      </c>
      <c r="E30" s="7">
        <v>30</v>
      </c>
      <c r="F30" s="7" t="s">
        <v>13</v>
      </c>
      <c r="G30" s="7" t="b">
        <f t="shared" si="0"/>
        <v>0</v>
      </c>
      <c r="H30" s="11" t="str">
        <f t="shared" si="1"/>
        <v>Standard price</v>
      </c>
      <c r="I30" s="21" t="str">
        <f>LEFT(Table2[[#This Row],[Product ID]],2)</f>
        <v>07</v>
      </c>
      <c r="J30" s="21" t="str">
        <f>RIGHT(Table2[[#This Row],[Product ID]],2)</f>
        <v>CA</v>
      </c>
      <c r="K30" s="21" t="str">
        <f>MID(Table2[[#This Row],[Product ID]],4,6)</f>
        <v>MAR-CA</v>
      </c>
      <c r="L30" t="s">
        <v>125</v>
      </c>
    </row>
    <row r="31" spans="1:13" ht="15.75" customHeight="1" x14ac:dyDescent="0.2">
      <c r="A31" s="10" t="s">
        <v>82</v>
      </c>
      <c r="B31" s="8" t="s">
        <v>83</v>
      </c>
      <c r="C31" s="8" t="s">
        <v>84</v>
      </c>
      <c r="D31" s="8">
        <v>40</v>
      </c>
      <c r="E31" s="8">
        <v>10</v>
      </c>
      <c r="F31" s="8" t="s">
        <v>17</v>
      </c>
      <c r="G31" s="7" t="b">
        <f t="shared" si="0"/>
        <v>0</v>
      </c>
      <c r="H31" s="11" t="str">
        <f t="shared" si="1"/>
        <v>Standard price</v>
      </c>
      <c r="I31" s="21" t="str">
        <f>LEFT(Table2[[#This Row],[Product ID]],2)</f>
        <v>13</v>
      </c>
      <c r="J31" s="21" t="str">
        <f>RIGHT(Table2[[#This Row],[Product ID]],2)</f>
        <v>CA</v>
      </c>
      <c r="K31" s="21" t="str">
        <f>MID(Table2[[#This Row],[Product ID]],4,6)</f>
        <v>APR-CA</v>
      </c>
      <c r="L31" t="s">
        <v>129</v>
      </c>
      <c r="M31" s="6" t="s">
        <v>131</v>
      </c>
    </row>
    <row r="32" spans="1:13" ht="15.75" customHeight="1" x14ac:dyDescent="0.2">
      <c r="A32" s="9" t="s">
        <v>85</v>
      </c>
      <c r="B32" s="7" t="s">
        <v>71</v>
      </c>
      <c r="C32" s="7" t="s">
        <v>86</v>
      </c>
      <c r="D32" s="7">
        <v>130</v>
      </c>
      <c r="E32" s="7">
        <v>5</v>
      </c>
      <c r="F32" s="7" t="s">
        <v>9</v>
      </c>
      <c r="G32" s="7" t="b">
        <f t="shared" si="0"/>
        <v>0</v>
      </c>
      <c r="H32" s="11" t="str">
        <f t="shared" si="1"/>
        <v>Standard price</v>
      </c>
      <c r="I32" s="21" t="str">
        <f>LEFT(Table2[[#This Row],[Product ID]],2)</f>
        <v>24</v>
      </c>
      <c r="J32" s="21" t="str">
        <f>RIGHT(Table2[[#This Row],[Product ID]],2)</f>
        <v>CA</v>
      </c>
      <c r="K32" s="21" t="str">
        <f>MID(Table2[[#This Row],[Product ID]],4,6)</f>
        <v>MAY-CA</v>
      </c>
      <c r="L32" t="s">
        <v>130</v>
      </c>
    </row>
    <row r="33" spans="1:11" ht="15.75" customHeight="1" x14ac:dyDescent="0.2">
      <c r="A33" s="10" t="s">
        <v>87</v>
      </c>
      <c r="B33" s="8" t="s">
        <v>88</v>
      </c>
      <c r="C33" s="8" t="s">
        <v>89</v>
      </c>
      <c r="D33" s="8">
        <v>50</v>
      </c>
      <c r="E33" s="8">
        <v>50</v>
      </c>
      <c r="F33" s="8" t="s">
        <v>13</v>
      </c>
      <c r="G33" s="7" t="b">
        <f t="shared" si="0"/>
        <v>0</v>
      </c>
      <c r="H33" s="11" t="str">
        <f t="shared" si="1"/>
        <v>Standard price</v>
      </c>
      <c r="I33" s="21" t="str">
        <f>LEFT(Table2[[#This Row],[Product ID]],2)</f>
        <v>02</v>
      </c>
      <c r="J33" s="21" t="str">
        <f>RIGHT(Table2[[#This Row],[Product ID]],2)</f>
        <v>CA</v>
      </c>
      <c r="K33" s="21" t="str">
        <f>MID(Table2[[#This Row],[Product ID]],4,6)</f>
        <v>DEC-CA</v>
      </c>
    </row>
    <row r="34" spans="1:11" ht="15.75" customHeight="1" x14ac:dyDescent="0.2">
      <c r="A34" s="9" t="s">
        <v>40</v>
      </c>
      <c r="B34" s="7" t="s">
        <v>7</v>
      </c>
      <c r="C34" s="7" t="s">
        <v>41</v>
      </c>
      <c r="D34" s="7">
        <v>950</v>
      </c>
      <c r="E34" s="7">
        <v>25</v>
      </c>
      <c r="F34" s="7" t="s">
        <v>9</v>
      </c>
      <c r="G34" s="7" t="str">
        <f t="shared" si="0"/>
        <v>High price</v>
      </c>
      <c r="H34" s="11" t="b">
        <f t="shared" si="1"/>
        <v>0</v>
      </c>
      <c r="I34" s="21" t="str">
        <f>LEFT(Table2[[#This Row],[Product ID]],2)</f>
        <v>17</v>
      </c>
      <c r="J34" s="21" t="str">
        <f>RIGHT(Table2[[#This Row],[Product ID]],2)</f>
        <v>IN</v>
      </c>
      <c r="K34" s="21" t="str">
        <f>MID(Table2[[#This Row],[Product ID]],4,6)</f>
        <v>JUN-IN</v>
      </c>
    </row>
    <row r="35" spans="1:11" ht="15.75" customHeight="1" x14ac:dyDescent="0.2">
      <c r="A35" s="16" t="s">
        <v>90</v>
      </c>
      <c r="B35" s="17" t="s">
        <v>91</v>
      </c>
      <c r="C35" s="17" t="s">
        <v>92</v>
      </c>
      <c r="D35" s="17">
        <v>100</v>
      </c>
      <c r="E35" s="17">
        <v>20</v>
      </c>
      <c r="F35" s="17" t="s">
        <v>53</v>
      </c>
      <c r="G35" s="18" t="b">
        <f t="shared" si="0"/>
        <v>0</v>
      </c>
      <c r="H35" s="19" t="str">
        <f t="shared" si="1"/>
        <v>Standard price</v>
      </c>
      <c r="I35" s="23" t="str">
        <f>LEFT(Table2[[#This Row],[Product ID]],2)</f>
        <v>09</v>
      </c>
      <c r="J35" s="21" t="str">
        <f>RIGHT(Table2[[#This Row],[Product ID]],2)</f>
        <v>FR</v>
      </c>
      <c r="K35" s="21" t="str">
        <f>MID(Table2[[#This Row],[Product ID]],4,6)</f>
        <v>JUL-FR</v>
      </c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SMILY PRINCESS</cp:lastModifiedBy>
  <dcterms:modified xsi:type="dcterms:W3CDTF">2026-09-20T05:19:48Z</dcterms:modified>
</cp:coreProperties>
</file>